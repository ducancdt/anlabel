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:\00_REPOS_PROJECTS\ANLABEL\"/>
    </mc:Choice>
  </mc:AlternateContent>
  <xr:revisionPtr revIDLastSave="0" documentId="13_ncr:1_{AF2E622E-7785-4DA3-A423-A9FB1FD10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history p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3" l="1"/>
  <c r="D57" i="3" s="1"/>
</calcChain>
</file>

<file path=xl/sharedStrings.xml><?xml version="1.0" encoding="utf-8"?>
<sst xmlns="http://schemas.openxmlformats.org/spreadsheetml/2006/main" count="355" uniqueCount="161">
  <si>
    <t>Mã KH</t>
  </si>
  <si>
    <t>Mã Bollhoff</t>
  </si>
  <si>
    <t>Tên sản phẩm</t>
  </si>
  <si>
    <t>Số lượng (pcs)</t>
  </si>
  <si>
    <t>Ngày gửi CPN</t>
  </si>
  <si>
    <t>Số PO</t>
  </si>
  <si>
    <t>912A2616</t>
  </si>
  <si>
    <t>E5451VZ257</t>
  </si>
  <si>
    <t>E1411KA/VZ227</t>
  </si>
  <si>
    <t>8750A2314</t>
  </si>
  <si>
    <t>13/10/2023</t>
  </si>
  <si>
    <t>42-4345 / SCREW 
PTTR02.5X007S/ZC FWN5451</t>
  </si>
  <si>
    <t>/ SCREW 
YIMT06.0X016V/A2 I  4762</t>
  </si>
  <si>
    <t>42-6572 / SCREW 
PHTR02.2X007S/ZC FWN1411</t>
  </si>
  <si>
    <t>/ SPRING PIN 
030X014 V/A2 I 8750</t>
  </si>
  <si>
    <t>PO 2</t>
  </si>
  <si>
    <t xml:space="preserve">Ngày gửi </t>
  </si>
  <si>
    <t>058731</t>
  </si>
  <si>
    <t>7981A24,216</t>
  </si>
  <si>
    <t>127A44</t>
  </si>
  <si>
    <t>E1451K/VZ4012</t>
  </si>
  <si>
    <t xml:space="preserve">PAN HEAD TAPPING 
SC. 7981 A2 TYPE C 4,2X16
</t>
  </si>
  <si>
    <t>SPRING LOCK WASHERS
 127 A4 TYPE B4</t>
  </si>
  <si>
    <t>SCREW YIMT06.0X016V/A2
 I  4762</t>
  </si>
  <si>
    <t>SCREW PTTR04.0X012S/ZC
 FWN1451</t>
  </si>
  <si>
    <t>SPRING PIN 030X014 
V/A2 I 8750</t>
  </si>
  <si>
    <t>28/11/2023</t>
  </si>
  <si>
    <t xml:space="preserve">Screw PHTR02.2X007S/ZC FWN1411 </t>
  </si>
  <si>
    <t>15/12/2023</t>
  </si>
  <si>
    <t>PAN HEAD TAPPING SC. 7981
 A2 TYPE C 4,2X16</t>
  </si>
  <si>
    <t>004404</t>
  </si>
  <si>
    <t>221240</t>
  </si>
  <si>
    <t>227320</t>
  </si>
  <si>
    <t>934MSVN3</t>
  </si>
  <si>
    <t>7985A2425</t>
  </si>
  <si>
    <t>NUT X MT03.0 5.5B/NC   I  4032</t>
  </si>
  <si>
    <t>SCREW PHMT04.0X025V/A2 I  7045</t>
  </si>
  <si>
    <t>SCREW PHTR02.2X007S/ZC FWN1411</t>
  </si>
  <si>
    <t>WAVE SPRING WASHERS 137 
TYPE A ZINC PL.6</t>
  </si>
  <si>
    <t>044723</t>
  </si>
  <si>
    <t>137A/VZ6</t>
  </si>
  <si>
    <t>SPRING PIN 030X014 V/A2 | 8750</t>
  </si>
  <si>
    <t>287063</t>
  </si>
  <si>
    <t>27/02/2024</t>
  </si>
  <si>
    <t>050399</t>
  </si>
  <si>
    <t>9346VZ4</t>
  </si>
  <si>
    <t>HEXAGON NUTS M4</t>
  </si>
  <si>
    <t xml:space="preserve">058731 </t>
  </si>
  <si>
    <t>SPRING LOCK WASHERS 127 A4 TYPE B4</t>
  </si>
  <si>
    <t>121352</t>
  </si>
  <si>
    <t>7985A2530</t>
  </si>
  <si>
    <t>SCREW PHMT05.0X030V/A2 I  7045</t>
  </si>
  <si>
    <t>SCREW PTTR02.5X007S/ZC FWN5451</t>
  </si>
  <si>
    <t>E1452K/VZ2010</t>
  </si>
  <si>
    <t>SCREW PTTR02.0X010S/ZC FWN1452</t>
  </si>
  <si>
    <t>SCREW YIMT06.0X016V/A2 I  4762</t>
  </si>
  <si>
    <t>9021A25,3</t>
  </si>
  <si>
    <t>WASH U V15.0X05.3X16A2 I  7093</t>
  </si>
  <si>
    <t>9021VZ8,4</t>
  </si>
  <si>
    <t>WASHERS 9021 ZP 140HV 8,4</t>
  </si>
  <si>
    <t>40328VZ8</t>
  </si>
  <si>
    <t>HEXAGON NUTS 4032 8 ZINC PLATED</t>
  </si>
  <si>
    <t>023406</t>
  </si>
  <si>
    <t>125VZ3,2</t>
  </si>
  <si>
    <t>PLAIN WASHERS 125 ZINC PLATED 3,2</t>
  </si>
  <si>
    <t>SCREW PTTR04.0X012S/ZC FWN1451</t>
  </si>
  <si>
    <t>5001423974</t>
  </si>
  <si>
    <t>5001492697</t>
  </si>
  <si>
    <t>5001467207</t>
  </si>
  <si>
    <t>5001506362</t>
  </si>
  <si>
    <t>SPRING PIN 030X014 V/A2 I 8750</t>
  </si>
  <si>
    <t>1203000600100002</t>
  </si>
  <si>
    <t>23306060233/01</t>
  </si>
  <si>
    <t>RIVKLE CYL-K M6 33/100</t>
  </si>
  <si>
    <t>19324225565/10</t>
  </si>
  <si>
    <t>RIVET C5X6,5 SKR H2 BH</t>
  </si>
  <si>
    <t>125MSVN4,3</t>
  </si>
  <si>
    <t>125A24,3</t>
  </si>
  <si>
    <t>222782</t>
  </si>
  <si>
    <t>70106222</t>
  </si>
  <si>
    <t>004701</t>
  </si>
  <si>
    <t>PLAIN WASHERS 125 BRASS NI PLATED 4,3</t>
  </si>
  <si>
    <t>PLAIN WASHERS 125A24,3</t>
  </si>
  <si>
    <t>5001522945</t>
  </si>
  <si>
    <t>5001512002</t>
  </si>
  <si>
    <t>Lot</t>
  </si>
  <si>
    <t>STD90001003</t>
  </si>
  <si>
    <t>23309080543/00</t>
  </si>
  <si>
    <t xml:space="preserve">RIVKLE CYL-K/ STEEL ZNNI PLATED FM8  35-50 </t>
  </si>
  <si>
    <t>WASH F S11.0X06.4X05ZC DA  137</t>
  </si>
  <si>
    <t>5001511010</t>
  </si>
  <si>
    <t>417293</t>
  </si>
  <si>
    <t>SCREW YIMT06.0X016V/A2 I  4762</t>
  </si>
  <si>
    <t>5001548488 </t>
  </si>
  <si>
    <t>241031-00002</t>
  </si>
  <si>
    <t>AZJ211226B124</t>
  </si>
  <si>
    <t>BH050724</t>
  </si>
  <si>
    <t>WAVE SPRING WASHERS 137 TYPE A ZINC PL.6</t>
  </si>
  <si>
    <t>Square nut DIN 562, M5, Stainless steel A2, Plain.</t>
  </si>
  <si>
    <t>S241112AB23</t>
  </si>
  <si>
    <t>RIVSET SP RIVET TP ST H2 ALMAC C 5,3x6,5 SKR</t>
  </si>
  <si>
    <t>SCREWX MTO4.0X027S/ZC14017</t>
  </si>
  <si>
    <t>Nut x MT04.0 007N/NC ISO 4032</t>
  </si>
  <si>
    <t>004694</t>
  </si>
  <si>
    <t>5MM X.8 X 12MM,FHD,SOC SCRW,316SS</t>
  </si>
  <si>
    <t>5MM X .8 X 12MM,SHC VENTED,316SS</t>
  </si>
  <si>
    <t>LOCK WASHER, 4MM 316SS</t>
  </si>
  <si>
    <t>06012025</t>
  </si>
  <si>
    <t>Rivet Nut_M6_ Stainless Steel _Head_Bollhoff_23306060233-02-C</t>
  </si>
  <si>
    <t>1000208907A</t>
  </si>
  <si>
    <t>SCREW METAL (ACC. DIN / ISO) SCREW X MT04.0X025S/ZC I 4017</t>
  </si>
  <si>
    <t>SCREW PHST04.2X016V/A2 I 7049C</t>
  </si>
  <si>
    <t>WASH U B09.0X04.3X08NC I  7089</t>
  </si>
  <si>
    <t>5001611775</t>
  </si>
  <si>
    <t>975930000500032</t>
  </si>
  <si>
    <t>SCREW METAL (ACC. DIN / ISO) SCREW YIMT05.0X032V/A2 I 4762</t>
  </si>
  <si>
    <t>250507W0532</t>
  </si>
  <si>
    <t>6797A/VZ3,2</t>
  </si>
  <si>
    <t>TOOTHED LOCK WASHERS 6797 TYPE A ZP 3,2</t>
  </si>
  <si>
    <t>73761/4</t>
  </si>
  <si>
    <t>NY250530AT01</t>
  </si>
  <si>
    <t>23341060030/40</t>
  </si>
  <si>
    <t>NUT SA M6 TAM2652</t>
  </si>
  <si>
    <t>BW250505</t>
  </si>
  <si>
    <t xml:space="preserve">250307 00019 </t>
  </si>
  <si>
    <t>SRVTD90001003</t>
  </si>
  <si>
    <t>RIVKLE CYL-K/ STEEL ZNNI PLATED FM8  35-50 (VPIC)</t>
  </si>
  <si>
    <t>1000211369A</t>
  </si>
  <si>
    <t>PO2507/317</t>
  </si>
  <si>
    <t>250107BE01</t>
  </si>
  <si>
    <t>SHCS,VENTED 3MM X.5 X 10MM LG.</t>
  </si>
  <si>
    <t>230829HN</t>
  </si>
  <si>
    <t>SHCS VENTED 5MMx.8x15MM LG 316</t>
  </si>
  <si>
    <t>SHCS VENTED 5MMx.8x25MM LG 316</t>
  </si>
  <si>
    <t>241002HN</t>
  </si>
  <si>
    <t>4MM X .7 X 16MM, SHCS VENTED 316</t>
  </si>
  <si>
    <t>912A2625C</t>
  </si>
  <si>
    <t>SHCS, 6MM X 1.0 X 25MM OAL, 304SS.</t>
  </si>
  <si>
    <t>230225W028</t>
  </si>
  <si>
    <t>12030006001000002</t>
  </si>
  <si>
    <t>22161130004/80</t>
  </si>
  <si>
    <t xml:space="preserve">Blind rivet 3x5 alu/steel D6,0
</t>
  </si>
  <si>
    <t>EG22-1058</t>
  </si>
  <si>
    <t>WASH L V20.5X12.5X10A2 DJ 6798</t>
  </si>
  <si>
    <t>WASH U V09.0X04.3X08A2 | 7089</t>
  </si>
  <si>
    <t>6912A2-70425V</t>
  </si>
  <si>
    <t>SCREW METAL (ACC. DIN / ISO) SCREW YIMT04.0X025V/A2 D 6912</t>
  </si>
  <si>
    <t>NUT x MT04.0 007B/NC | 4032</t>
  </si>
  <si>
    <t>AWC240619W044A</t>
  </si>
  <si>
    <t>4MM X .7 X 16MM, SHCS VENTED 3</t>
  </si>
  <si>
    <t>5MM X.8 X 12MM,FHD,SOC SCRW,31</t>
  </si>
  <si>
    <t>6MM X 1 X 20MM,SHC VENTED,316S</t>
  </si>
  <si>
    <t>6MM X 1 X 22MM,SHC VENTED,316SS</t>
  </si>
  <si>
    <t>6MM X 1 X 30MM,SHC VENTED,316S</t>
  </si>
  <si>
    <t>79643/3</t>
  </si>
  <si>
    <t>PO 3</t>
  </si>
  <si>
    <t>B18.2.1A21/47/8</t>
  </si>
  <si>
    <t>1/4-20 X 7/8" LONG, HEX HEAD,</t>
  </si>
  <si>
    <t>SHCS 4MM X .7 X 10MM LG 316SS</t>
  </si>
  <si>
    <t>020226</t>
  </si>
  <si>
    <t>5MM X .8 X 12MM,SHC
VENTED,316SS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</si>
</sst>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Times New Roman"/>
      <family val="1"/>
      <charset val="163"/>
    </font>
    <font>
      <sz val="10"/>
      <color indexed="8"/>
      <name val="Arial"/>
      <family val="2"/>
    </font>
    <font>
      <sz val="11"/>
      <color indexed="8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sz val="8"/>
      <name val="Calibri"/>
      <family val="2"/>
      <scheme val="minor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ambria"/>
      <family val="1"/>
    </font>
    <font>
      <sz val="11"/>
      <color rgb="FF000000"/>
      <name val="Cambria"/>
      <family val="1"/>
    </font>
    <font>
      <sz val="8"/>
      <color rgb="FF081B3A"/>
      <name val="Segoe UI"/>
      <family val="2"/>
    </font>
    <font>
      <sz val="11"/>
      <color rgb="FF000000"/>
      <name val="Calibri Light"/>
      <family val="1"/>
      <charset val="163"/>
      <scheme val="major"/>
    </font>
    <font>
      <sz val="11"/>
      <name val="Calibri Light"/>
      <family val="1"/>
      <charset val="163"/>
      <scheme val="major"/>
    </font>
    <font>
      <b/>
      <sz val="11"/>
      <color rgb="FF000000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9"/>
      <color rgb="FF00000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26" fillId="0" borderId="0"/>
  </cellStyleXfs>
  <cellXfs count="61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4" fontId="2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5" fillId="2" borderId="1" xfId="0" quotePrefix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right" vertical="center" wrapText="1"/>
    </xf>
    <xf numFmtId="0" fontId="7" fillId="2" borderId="1" xfId="2" applyFont="1" applyFill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 wrapText="1"/>
    </xf>
    <xf numFmtId="49" fontId="5" fillId="2" borderId="1" xfId="0" quotePrefix="1" applyNumberFormat="1" applyFont="1" applyFill="1" applyBorder="1" applyAlignment="1">
      <alignment horizontal="center" vertical="center"/>
    </xf>
    <xf numFmtId="49" fontId="0" fillId="0" borderId="0" xfId="0" applyNumberFormat="1"/>
    <xf numFmtId="1" fontId="5" fillId="0" borderId="1" xfId="1" quotePrefix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8" fillId="2" borderId="1" xfId="1" applyNumberFormat="1" applyFont="1" applyFill="1" applyBorder="1" applyAlignment="1">
      <alignment horizontal="right" vertical="center" wrapText="1"/>
    </xf>
    <xf numFmtId="14" fontId="8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13" fillId="0" borderId="1" xfId="1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4" fontId="9" fillId="0" borderId="1" xfId="1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quotePrefix="1" applyFont="1" applyBorder="1" applyAlignment="1">
      <alignment horizontal="center" vertical="center"/>
    </xf>
    <xf numFmtId="164" fontId="17" fillId="0" borderId="2" xfId="0" applyNumberFormat="1" applyFont="1" applyBorder="1" applyAlignment="1">
      <alignment horizontal="right" vertical="center" wrapText="1"/>
    </xf>
    <xf numFmtId="0" fontId="18" fillId="0" borderId="0" xfId="0" applyFont="1"/>
    <xf numFmtId="164" fontId="12" fillId="0" borderId="1" xfId="1" applyNumberFormat="1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4" fontId="21" fillId="0" borderId="1" xfId="1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164" fontId="25" fillId="0" borderId="1" xfId="1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/>
    </xf>
    <xf numFmtId="14" fontId="12" fillId="0" borderId="1" xfId="1" applyNumberFormat="1" applyFont="1" applyBorder="1" applyAlignment="1">
      <alignment horizontal="center" vertical="center" wrapText="1"/>
    </xf>
    <xf numFmtId="49" fontId="2" fillId="0" borderId="3" xfId="0" applyNumberFormat="1" applyFont="1" applyBorder="1"/>
    <xf numFmtId="0" fontId="2" fillId="0" borderId="3" xfId="0" applyFont="1" applyBorder="1"/>
  </cellXfs>
  <cellStyles count="4">
    <cellStyle name="Comma" xfId="1" builtinId="3"/>
    <cellStyle name="Normal" xfId="0" builtinId="0"/>
    <cellStyle name="Normal 6" xfId="3" xr:uid="{FB3BE5FA-801E-463E-961A-820269401421}"/>
    <cellStyle name="Normal_A11 VN1 Commodity Overview" xfId="2" xr:uid="{00000000-0005-0000-0000-000002000000}"/>
  </cellStyles>
  <dxfs count="6"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DAB355-2A65-4248-A0F6-EE2767E2E449}" name="Table2" displayName="Table2" ref="A1:I1048153" totalsRowShown="0" headerRowDxfId="5" headerRowBorderDxfId="4" tableBorderDxfId="3">
  <autoFilter ref="A1:I1048153" xr:uid="{CEDAB355-2A65-4248-A0F6-EE2767E2E449}"/>
  <tableColumns count="9">
    <tableColumn id="1" xr3:uid="{364F8971-10B1-403B-A103-983A6F99F247}" name="Mã KH" dataDxfId="2"/>
    <tableColumn id="2" xr3:uid="{6CF5FEFD-C77F-4832-BC6F-82643B042531}" name="Mã Bollhoff" dataDxfId="1"/>
    <tableColumn id="3" xr3:uid="{35FA8812-7324-41EE-9372-D1C80A8B5C91}" name="Tên sản phẩm"/>
    <tableColumn id="4" xr3:uid="{F11A7F56-6C86-4EB3-B2CE-FF3278F98278}" name="Số lượng (pcs)"/>
    <tableColumn id="5" xr3:uid="{4C781F7C-82B2-4FCA-A003-C6C9D3AA2E83}" name="Lot" dataDxfId="0"/>
    <tableColumn id="6" xr3:uid="{993663D5-6263-4153-97BE-5445CC9841C8}" name="Ngày gửi CPN"/>
    <tableColumn id="7" xr3:uid="{04A43739-1DCD-4388-B029-82C9D1B57C6B}" name="Số PO"/>
    <tableColumn id="8" xr3:uid="{F8E04616-1211-4F8C-A511-4C068E306161}" name="PO 2"/>
    <tableColumn id="9" xr3:uid="{99972C9F-F006-4A8B-82A3-D2C9D35453F7}" name="PO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154"/>
  <sheetViews>
    <sheetView tabSelected="1" zoomScale="85" zoomScaleNormal="85" workbookViewId="0">
      <selection activeCell="A2" sqref="A2:XFD417"/>
    </sheetView>
  </sheetViews>
  <sheetFormatPr defaultRowHeight="14.4" x14ac:dyDescent="0.3"/>
  <cols>
    <col min="1" max="1" width="26.109375" style="18" customWidth="1"/>
    <col min="2" max="2" width="18.33203125" style="18" customWidth="1"/>
    <col min="3" max="3" width="54.77734375" customWidth="1"/>
    <col min="4" max="4" width="17.6640625" customWidth="1"/>
    <col min="5" max="5" width="18" style="18" customWidth="1"/>
    <col min="6" max="6" width="16.5546875" customWidth="1"/>
    <col min="7" max="7" width="24.21875" customWidth="1"/>
    <col min="8" max="8" width="17.6640625" customWidth="1"/>
    <col min="9" max="9" width="14.6640625" customWidth="1"/>
  </cols>
  <sheetData>
    <row r="1" spans="1:9" x14ac:dyDescent="0.3">
      <c r="A1" s="59" t="s">
        <v>0</v>
      </c>
      <c r="B1" s="59" t="s">
        <v>1</v>
      </c>
      <c r="C1" s="60" t="s">
        <v>2</v>
      </c>
      <c r="D1" s="60" t="s">
        <v>3</v>
      </c>
      <c r="E1" s="60" t="s">
        <v>85</v>
      </c>
      <c r="F1" s="60" t="s">
        <v>4</v>
      </c>
      <c r="G1" s="60" t="s">
        <v>5</v>
      </c>
      <c r="H1" s="60" t="s">
        <v>15</v>
      </c>
      <c r="I1" s="60" t="s">
        <v>155</v>
      </c>
    </row>
    <row r="2" spans="1:9" x14ac:dyDescent="0.3">
      <c r="A2" s="57">
        <v>2000062862</v>
      </c>
      <c r="B2" s="50">
        <v>96006600620</v>
      </c>
      <c r="C2" s="54" t="s">
        <v>151</v>
      </c>
      <c r="D2">
        <v>300</v>
      </c>
      <c r="E2" s="18" t="s">
        <v>159</v>
      </c>
      <c r="F2" s="25">
        <v>46181</v>
      </c>
      <c r="G2" s="51">
        <v>4500263597</v>
      </c>
    </row>
    <row r="3" spans="1:9" x14ac:dyDescent="0.3">
      <c r="A3" s="51">
        <v>2000062908</v>
      </c>
      <c r="B3" s="51" t="s">
        <v>156</v>
      </c>
      <c r="C3" s="51" t="s">
        <v>157</v>
      </c>
      <c r="D3" s="55">
        <v>400</v>
      </c>
      <c r="E3" s="18">
        <v>290425</v>
      </c>
      <c r="F3" s="25">
        <v>46181</v>
      </c>
      <c r="G3" s="51">
        <v>4500470562</v>
      </c>
    </row>
    <row r="4" spans="1:9" x14ac:dyDescent="0.3">
      <c r="A4" s="51">
        <v>2000062696</v>
      </c>
      <c r="B4" s="51">
        <v>96007000410</v>
      </c>
      <c r="C4" s="51" t="s">
        <v>158</v>
      </c>
      <c r="D4" s="55">
        <v>2000</v>
      </c>
      <c r="E4" s="18">
        <v>180526</v>
      </c>
      <c r="F4" s="25">
        <v>46181</v>
      </c>
      <c r="G4" s="51">
        <v>4500674817</v>
      </c>
    </row>
    <row r="5" spans="1:9" x14ac:dyDescent="0.3">
      <c r="A5" s="57">
        <v>2000062864</v>
      </c>
      <c r="B5" s="50">
        <v>96006700622</v>
      </c>
      <c r="C5" s="54" t="s">
        <v>152</v>
      </c>
      <c r="D5">
        <v>500</v>
      </c>
      <c r="E5" s="18">
        <v>180526</v>
      </c>
      <c r="F5" s="25">
        <v>46181</v>
      </c>
      <c r="G5" s="51">
        <v>4500674817</v>
      </c>
    </row>
    <row r="6" spans="1:9" x14ac:dyDescent="0.3">
      <c r="A6" s="57">
        <v>2000062864</v>
      </c>
      <c r="B6" s="50">
        <v>96006700622</v>
      </c>
      <c r="C6" s="54" t="s">
        <v>152</v>
      </c>
      <c r="D6">
        <v>1000</v>
      </c>
      <c r="E6" s="18">
        <v>180526</v>
      </c>
      <c r="F6" s="25">
        <v>46181</v>
      </c>
      <c r="G6" s="51">
        <v>4500674817</v>
      </c>
    </row>
    <row r="7" spans="1:9" x14ac:dyDescent="0.3">
      <c r="A7" s="53">
        <v>2000062862</v>
      </c>
      <c r="B7" s="51">
        <v>96006600620</v>
      </c>
      <c r="C7" s="51" t="s">
        <v>151</v>
      </c>
      <c r="D7" s="55">
        <v>500</v>
      </c>
      <c r="E7" s="18">
        <v>180526</v>
      </c>
      <c r="F7" s="25">
        <v>46181</v>
      </c>
      <c r="G7" s="51">
        <v>4500674817</v>
      </c>
    </row>
    <row r="8" spans="1:9" x14ac:dyDescent="0.3">
      <c r="A8" s="53">
        <v>2000062862</v>
      </c>
      <c r="B8" s="51">
        <v>96006600620</v>
      </c>
      <c r="C8" s="51" t="s">
        <v>151</v>
      </c>
      <c r="D8" s="55">
        <v>1000</v>
      </c>
      <c r="E8" s="18">
        <v>180526</v>
      </c>
      <c r="F8" s="25">
        <v>46181</v>
      </c>
      <c r="G8" s="51">
        <v>4500674817</v>
      </c>
    </row>
    <row r="9" spans="1:9" x14ac:dyDescent="0.3">
      <c r="A9" s="51">
        <v>2000062844</v>
      </c>
      <c r="B9" s="51" t="s">
        <v>19</v>
      </c>
      <c r="C9" s="51" t="s">
        <v>48</v>
      </c>
      <c r="D9" s="24">
        <v>10000</v>
      </c>
      <c r="E9" s="18">
        <v>180526</v>
      </c>
      <c r="F9" s="25">
        <v>46181</v>
      </c>
      <c r="G9" s="51">
        <v>4500674817</v>
      </c>
    </row>
    <row r="10" spans="1:9" x14ac:dyDescent="0.3">
      <c r="A10" s="52">
        <v>2000062848</v>
      </c>
      <c r="B10" s="52">
        <v>96006100416</v>
      </c>
      <c r="C10" s="49" t="s">
        <v>149</v>
      </c>
      <c r="D10">
        <v>1000</v>
      </c>
      <c r="E10" s="18">
        <v>180526</v>
      </c>
      <c r="F10" s="25">
        <v>46181</v>
      </c>
      <c r="G10" s="51">
        <v>4500674817</v>
      </c>
    </row>
    <row r="11" spans="1:9" x14ac:dyDescent="0.3">
      <c r="A11" s="56">
        <v>2000062855</v>
      </c>
      <c r="B11" s="52">
        <v>96006200512</v>
      </c>
      <c r="C11" s="49" t="s">
        <v>150</v>
      </c>
      <c r="D11">
        <v>1000</v>
      </c>
      <c r="E11" s="18">
        <v>180526</v>
      </c>
      <c r="F11" s="25">
        <v>46181</v>
      </c>
      <c r="G11" s="51">
        <v>4500674817</v>
      </c>
    </row>
    <row r="12" spans="1:9" x14ac:dyDescent="0.3">
      <c r="A12" s="57">
        <v>2000062867</v>
      </c>
      <c r="B12" s="50">
        <v>96006800630</v>
      </c>
      <c r="C12" s="54" t="s">
        <v>153</v>
      </c>
      <c r="D12">
        <v>300</v>
      </c>
      <c r="E12" s="18">
        <v>180526</v>
      </c>
      <c r="F12" s="25">
        <v>46181</v>
      </c>
      <c r="G12" s="51">
        <v>4500674817</v>
      </c>
    </row>
    <row r="13" spans="1:9" x14ac:dyDescent="0.3">
      <c r="A13" s="57">
        <v>2000062867</v>
      </c>
      <c r="B13" s="50">
        <v>96006800630</v>
      </c>
      <c r="C13" s="54" t="s">
        <v>153</v>
      </c>
      <c r="D13">
        <v>100</v>
      </c>
      <c r="E13" s="18">
        <v>180526</v>
      </c>
      <c r="F13" s="25">
        <v>46181</v>
      </c>
      <c r="G13" s="51">
        <v>4500674817</v>
      </c>
    </row>
    <row r="14" spans="1:9" x14ac:dyDescent="0.3">
      <c r="A14" s="57">
        <v>2000062867</v>
      </c>
      <c r="B14" s="50">
        <v>96006800630</v>
      </c>
      <c r="C14" s="54" t="s">
        <v>153</v>
      </c>
      <c r="D14">
        <v>1000</v>
      </c>
      <c r="E14" s="18">
        <v>180526</v>
      </c>
      <c r="F14" s="25">
        <v>46181</v>
      </c>
      <c r="G14" s="51">
        <v>4500674817</v>
      </c>
    </row>
    <row r="15" spans="1:9" ht="26.4" x14ac:dyDescent="0.3">
      <c r="A15" s="51">
        <v>2000062856</v>
      </c>
      <c r="B15" s="51">
        <v>96006300512</v>
      </c>
      <c r="C15" s="51" t="s">
        <v>160</v>
      </c>
      <c r="D15">
        <v>750</v>
      </c>
      <c r="E15" s="18">
        <v>180526</v>
      </c>
      <c r="F15" s="25">
        <v>46181</v>
      </c>
      <c r="G15" s="51">
        <v>4500674817</v>
      </c>
    </row>
    <row r="16" spans="1:9" ht="26.4" x14ac:dyDescent="0.3">
      <c r="A16" s="51">
        <v>2000062856</v>
      </c>
      <c r="B16" s="51">
        <v>96006300512</v>
      </c>
      <c r="C16" s="51" t="s">
        <v>160</v>
      </c>
      <c r="D16">
        <v>1500</v>
      </c>
      <c r="E16" s="18">
        <v>180526</v>
      </c>
      <c r="F16" s="25">
        <v>46181</v>
      </c>
      <c r="G16" s="51">
        <v>4500674817</v>
      </c>
    </row>
    <row r="1048154" spans="5:5" x14ac:dyDescent="0.3">
      <c r="E104815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7"/>
  <sheetViews>
    <sheetView topLeftCell="A127" zoomScale="85" zoomScaleNormal="85" workbookViewId="0">
      <selection activeCell="A121" sqref="A121:B121"/>
    </sheetView>
  </sheetViews>
  <sheetFormatPr defaultRowHeight="14.4" x14ac:dyDescent="0.3"/>
  <cols>
    <col min="1" max="1" width="17.88671875" customWidth="1"/>
    <col min="2" max="2" width="26.88671875" customWidth="1"/>
    <col min="3" max="3" width="31.109375" customWidth="1"/>
    <col min="5" max="5" width="17.33203125" customWidth="1"/>
    <col min="6" max="6" width="19.5546875" customWidth="1"/>
    <col min="7" max="7" width="20.33203125" customWidth="1"/>
    <col min="8" max="8" width="15.44140625" customWidth="1"/>
    <col min="9" max="9" width="12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5</v>
      </c>
      <c r="G1" s="1" t="s">
        <v>15</v>
      </c>
      <c r="H1" s="1" t="s">
        <v>85</v>
      </c>
    </row>
    <row r="2" spans="1:8" ht="42.6" customHeight="1" x14ac:dyDescent="0.3">
      <c r="A2" s="2">
        <v>417293</v>
      </c>
      <c r="B2" s="3" t="s">
        <v>6</v>
      </c>
      <c r="C2" s="4" t="s">
        <v>12</v>
      </c>
      <c r="D2" s="5">
        <v>1000</v>
      </c>
      <c r="E2" s="7" t="s">
        <v>10</v>
      </c>
      <c r="F2" s="6">
        <v>5001485075</v>
      </c>
      <c r="G2" s="6"/>
      <c r="H2" s="6"/>
    </row>
    <row r="3" spans="1:8" ht="42.6" customHeight="1" x14ac:dyDescent="0.3">
      <c r="A3" s="2">
        <v>222782</v>
      </c>
      <c r="B3" s="3" t="s">
        <v>7</v>
      </c>
      <c r="C3" s="4" t="s">
        <v>11</v>
      </c>
      <c r="D3" s="5">
        <v>34100</v>
      </c>
      <c r="E3" s="7" t="s">
        <v>10</v>
      </c>
      <c r="F3" s="6">
        <v>5001453924</v>
      </c>
      <c r="G3" s="1">
        <v>5001484236</v>
      </c>
      <c r="H3" s="6"/>
    </row>
    <row r="4" spans="1:8" ht="42.6" customHeight="1" x14ac:dyDescent="0.3">
      <c r="A4" s="1">
        <v>227320</v>
      </c>
      <c r="B4" s="1" t="s">
        <v>8</v>
      </c>
      <c r="C4" s="8" t="s">
        <v>13</v>
      </c>
      <c r="D4" s="1">
        <v>70000</v>
      </c>
      <c r="E4" s="1" t="s">
        <v>10</v>
      </c>
      <c r="F4" s="1">
        <v>5001404316</v>
      </c>
      <c r="G4" s="1"/>
      <c r="H4" s="1"/>
    </row>
    <row r="5" spans="1:8" ht="42.6" customHeight="1" x14ac:dyDescent="0.3">
      <c r="A5" s="1">
        <v>287063</v>
      </c>
      <c r="B5" s="1" t="s">
        <v>9</v>
      </c>
      <c r="C5" s="8" t="s">
        <v>14</v>
      </c>
      <c r="D5" s="1">
        <v>39000</v>
      </c>
      <c r="E5" s="1" t="s">
        <v>10</v>
      </c>
      <c r="F5" s="1">
        <v>5001482778</v>
      </c>
      <c r="G5" s="1"/>
      <c r="H5" s="1"/>
    </row>
    <row r="6" spans="1:8" ht="41.4" x14ac:dyDescent="0.3">
      <c r="A6" s="9">
        <v>70119304</v>
      </c>
      <c r="B6" s="11" t="s">
        <v>18</v>
      </c>
      <c r="C6" s="12" t="s">
        <v>21</v>
      </c>
      <c r="D6" s="14">
        <v>6000</v>
      </c>
      <c r="E6" s="7" t="s">
        <v>26</v>
      </c>
      <c r="F6" s="10">
        <v>5001478446</v>
      </c>
    </row>
    <row r="7" spans="1:8" ht="27.6" x14ac:dyDescent="0.3">
      <c r="A7" s="9" t="s">
        <v>17</v>
      </c>
      <c r="B7" s="11" t="s">
        <v>19</v>
      </c>
      <c r="C7" s="12" t="s">
        <v>22</v>
      </c>
      <c r="D7" s="14">
        <v>1000</v>
      </c>
      <c r="E7" s="7" t="s">
        <v>26</v>
      </c>
      <c r="F7" s="10">
        <v>5001481931</v>
      </c>
    </row>
    <row r="8" spans="1:8" ht="27.6" x14ac:dyDescent="0.3">
      <c r="A8" s="9" t="s">
        <v>17</v>
      </c>
      <c r="B8" s="11" t="s">
        <v>19</v>
      </c>
      <c r="C8" s="12" t="s">
        <v>22</v>
      </c>
      <c r="D8" s="14">
        <v>1000</v>
      </c>
      <c r="E8" s="7" t="s">
        <v>26</v>
      </c>
      <c r="F8" s="10">
        <v>5001481931</v>
      </c>
    </row>
    <row r="9" spans="1:8" ht="27.6" x14ac:dyDescent="0.3">
      <c r="A9" s="9">
        <v>222782</v>
      </c>
      <c r="B9" s="11" t="s">
        <v>7</v>
      </c>
      <c r="C9" s="12" t="s">
        <v>11</v>
      </c>
      <c r="D9" s="14">
        <v>10000</v>
      </c>
      <c r="E9" s="7" t="s">
        <v>26</v>
      </c>
      <c r="F9" s="10">
        <v>5001484236</v>
      </c>
    </row>
    <row r="10" spans="1:8" ht="27.6" x14ac:dyDescent="0.3">
      <c r="A10" s="9">
        <v>222782</v>
      </c>
      <c r="B10" s="11" t="s">
        <v>7</v>
      </c>
      <c r="C10" s="12" t="s">
        <v>11</v>
      </c>
      <c r="D10" s="14">
        <v>100</v>
      </c>
      <c r="E10" s="7" t="s">
        <v>26</v>
      </c>
      <c r="F10" s="10">
        <v>5001484236</v>
      </c>
    </row>
    <row r="11" spans="1:8" ht="27.6" x14ac:dyDescent="0.3">
      <c r="A11" s="9">
        <v>417293</v>
      </c>
      <c r="B11" s="11" t="s">
        <v>6</v>
      </c>
      <c r="C11" s="12" t="s">
        <v>23</v>
      </c>
      <c r="D11" s="14">
        <v>3000</v>
      </c>
      <c r="E11" s="7" t="s">
        <v>26</v>
      </c>
      <c r="F11" s="10">
        <v>5001484814</v>
      </c>
    </row>
    <row r="12" spans="1:8" ht="27.6" x14ac:dyDescent="0.3">
      <c r="A12" s="9">
        <v>70106222</v>
      </c>
      <c r="B12" s="11" t="s">
        <v>20</v>
      </c>
      <c r="C12" s="13" t="s">
        <v>24</v>
      </c>
      <c r="D12" s="14">
        <v>5000</v>
      </c>
      <c r="E12" s="7" t="s">
        <v>26</v>
      </c>
      <c r="F12" s="10">
        <v>5001489288</v>
      </c>
    </row>
    <row r="13" spans="1:8" ht="27.6" x14ac:dyDescent="0.3">
      <c r="A13" s="9">
        <v>70106222</v>
      </c>
      <c r="B13" s="11" t="s">
        <v>20</v>
      </c>
      <c r="C13" s="13" t="s">
        <v>24</v>
      </c>
      <c r="D13" s="14">
        <v>10000</v>
      </c>
      <c r="E13" s="7" t="s">
        <v>26</v>
      </c>
      <c r="F13" s="10">
        <v>5001489288</v>
      </c>
    </row>
    <row r="14" spans="1:8" ht="27.6" x14ac:dyDescent="0.3">
      <c r="A14" s="9">
        <v>287063</v>
      </c>
      <c r="B14" s="11" t="s">
        <v>9</v>
      </c>
      <c r="C14" s="13" t="s">
        <v>25</v>
      </c>
      <c r="D14" s="14">
        <v>8000</v>
      </c>
      <c r="E14" s="7" t="s">
        <v>26</v>
      </c>
      <c r="F14" s="10">
        <v>5001492697</v>
      </c>
    </row>
    <row r="15" spans="1:8" ht="27.6" x14ac:dyDescent="0.3">
      <c r="A15" s="9">
        <v>287063</v>
      </c>
      <c r="B15" s="11" t="s">
        <v>9</v>
      </c>
      <c r="C15" s="13" t="s">
        <v>25</v>
      </c>
      <c r="D15" s="14">
        <v>1000</v>
      </c>
      <c r="E15" s="7" t="s">
        <v>26</v>
      </c>
      <c r="F15" s="10">
        <v>5001492697</v>
      </c>
    </row>
    <row r="16" spans="1:8" ht="27.6" x14ac:dyDescent="0.3">
      <c r="A16" s="9">
        <v>70119304</v>
      </c>
      <c r="B16" s="11" t="s">
        <v>18</v>
      </c>
      <c r="C16" s="12" t="s">
        <v>29</v>
      </c>
      <c r="D16" s="14">
        <v>8000</v>
      </c>
      <c r="E16" s="16" t="s">
        <v>28</v>
      </c>
      <c r="F16" s="10">
        <v>5001467487</v>
      </c>
    </row>
    <row r="17" spans="1:6" x14ac:dyDescent="0.3">
      <c r="A17" s="9">
        <v>227320</v>
      </c>
      <c r="B17" s="11" t="s">
        <v>8</v>
      </c>
      <c r="C17" s="15" t="s">
        <v>27</v>
      </c>
      <c r="D17" s="14">
        <v>40000</v>
      </c>
      <c r="E17" s="16" t="s">
        <v>28</v>
      </c>
      <c r="F17" s="10">
        <v>5001404316</v>
      </c>
    </row>
    <row r="18" spans="1:6" ht="27.6" x14ac:dyDescent="0.3">
      <c r="A18" s="9">
        <v>70119304</v>
      </c>
      <c r="B18" s="11" t="s">
        <v>18</v>
      </c>
      <c r="C18" s="12" t="s">
        <v>29</v>
      </c>
      <c r="D18" s="14"/>
      <c r="E18" s="16" t="s">
        <v>28</v>
      </c>
      <c r="F18" s="10">
        <v>5001467487</v>
      </c>
    </row>
    <row r="19" spans="1:6" x14ac:dyDescent="0.3">
      <c r="A19" s="9">
        <v>227320</v>
      </c>
      <c r="B19" s="11" t="s">
        <v>8</v>
      </c>
      <c r="C19" s="15" t="s">
        <v>27</v>
      </c>
      <c r="D19" s="14">
        <v>5000</v>
      </c>
      <c r="E19" s="16" t="s">
        <v>28</v>
      </c>
      <c r="F19" s="10">
        <v>5001404316</v>
      </c>
    </row>
    <row r="20" spans="1:6" x14ac:dyDescent="0.3">
      <c r="A20" s="17" t="s">
        <v>30</v>
      </c>
      <c r="B20" s="11" t="s">
        <v>33</v>
      </c>
      <c r="C20" s="12" t="s">
        <v>35</v>
      </c>
      <c r="D20" s="14">
        <v>1000</v>
      </c>
      <c r="E20" s="16">
        <v>45306</v>
      </c>
      <c r="F20" s="10">
        <v>5001404316</v>
      </c>
    </row>
    <row r="21" spans="1:6" x14ac:dyDescent="0.3">
      <c r="A21" s="17" t="s">
        <v>30</v>
      </c>
      <c r="B21" s="11" t="s">
        <v>33</v>
      </c>
      <c r="C21" s="12" t="s">
        <v>35</v>
      </c>
      <c r="D21" s="14">
        <v>5000</v>
      </c>
      <c r="E21" s="16">
        <v>45306</v>
      </c>
      <c r="F21" s="10">
        <v>5001404316</v>
      </c>
    </row>
    <row r="22" spans="1:6" x14ac:dyDescent="0.3">
      <c r="A22" s="17" t="s">
        <v>31</v>
      </c>
      <c r="B22" s="11" t="s">
        <v>34</v>
      </c>
      <c r="C22" s="15" t="s">
        <v>36</v>
      </c>
      <c r="D22" s="14">
        <v>1000</v>
      </c>
      <c r="E22" s="16">
        <v>45306</v>
      </c>
      <c r="F22" s="10">
        <v>5001505607</v>
      </c>
    </row>
    <row r="23" spans="1:6" ht="27.6" x14ac:dyDescent="0.3">
      <c r="A23" s="17" t="s">
        <v>32</v>
      </c>
      <c r="B23" s="11" t="s">
        <v>8</v>
      </c>
      <c r="C23" s="12" t="s">
        <v>37</v>
      </c>
      <c r="D23" s="14">
        <v>31000</v>
      </c>
      <c r="E23" s="16">
        <v>45306</v>
      </c>
      <c r="F23" s="10">
        <v>5001404316</v>
      </c>
    </row>
    <row r="24" spans="1:6" ht="27.6" x14ac:dyDescent="0.3">
      <c r="A24" s="17" t="s">
        <v>32</v>
      </c>
      <c r="B24" s="11" t="s">
        <v>8</v>
      </c>
      <c r="C24" s="12" t="s">
        <v>37</v>
      </c>
      <c r="D24" s="14">
        <v>11000</v>
      </c>
      <c r="E24" s="16">
        <v>45306</v>
      </c>
      <c r="F24" s="10">
        <v>5001404316</v>
      </c>
    </row>
    <row r="25" spans="1:6" ht="27.6" x14ac:dyDescent="0.3">
      <c r="A25" s="17" t="s">
        <v>32</v>
      </c>
      <c r="B25" s="11" t="s">
        <v>8</v>
      </c>
      <c r="C25" s="12" t="s">
        <v>37</v>
      </c>
      <c r="D25" s="14">
        <v>1000</v>
      </c>
      <c r="E25" s="16">
        <v>45306</v>
      </c>
      <c r="F25" s="10">
        <v>5001404316</v>
      </c>
    </row>
    <row r="26" spans="1:6" ht="27.6" x14ac:dyDescent="0.3">
      <c r="A26" s="17" t="s">
        <v>32</v>
      </c>
      <c r="B26" s="11" t="s">
        <v>8</v>
      </c>
      <c r="C26" s="12" t="s">
        <v>37</v>
      </c>
      <c r="D26" s="14">
        <v>5000</v>
      </c>
      <c r="E26" s="16">
        <v>45306</v>
      </c>
      <c r="F26" s="10">
        <v>5001404316</v>
      </c>
    </row>
    <row r="27" spans="1:6" ht="27.6" x14ac:dyDescent="0.3">
      <c r="A27" s="17" t="s">
        <v>39</v>
      </c>
      <c r="B27" s="11" t="s">
        <v>40</v>
      </c>
      <c r="C27" s="12" t="s">
        <v>38</v>
      </c>
      <c r="D27" s="14">
        <v>50000</v>
      </c>
      <c r="E27" s="16" t="s">
        <v>43</v>
      </c>
      <c r="F27" s="10">
        <v>5001441852</v>
      </c>
    </row>
    <row r="28" spans="1:6" ht="27.6" x14ac:dyDescent="0.3">
      <c r="A28" s="17" t="s">
        <v>39</v>
      </c>
      <c r="B28" s="11" t="s">
        <v>40</v>
      </c>
      <c r="C28" s="12" t="s">
        <v>38</v>
      </c>
      <c r="D28" s="14">
        <v>26000</v>
      </c>
      <c r="E28" s="16" t="s">
        <v>43</v>
      </c>
      <c r="F28" s="10">
        <v>5001441852</v>
      </c>
    </row>
    <row r="29" spans="1:6" x14ac:dyDescent="0.3">
      <c r="A29" s="17" t="s">
        <v>42</v>
      </c>
      <c r="B29" s="11" t="s">
        <v>9</v>
      </c>
      <c r="C29" s="15" t="s">
        <v>41</v>
      </c>
      <c r="D29" s="14">
        <v>30000</v>
      </c>
      <c r="E29" s="16" t="s">
        <v>43</v>
      </c>
      <c r="F29" s="10">
        <v>5001463315</v>
      </c>
    </row>
    <row r="30" spans="1:6" x14ac:dyDescent="0.3">
      <c r="A30" s="17" t="s">
        <v>42</v>
      </c>
      <c r="B30" s="11" t="s">
        <v>9</v>
      </c>
      <c r="C30" s="15" t="s">
        <v>41</v>
      </c>
      <c r="D30" s="14">
        <v>29000</v>
      </c>
      <c r="E30" s="16" t="s">
        <v>43</v>
      </c>
      <c r="F30" s="10">
        <v>5001463315</v>
      </c>
    </row>
    <row r="31" spans="1:6" x14ac:dyDescent="0.3">
      <c r="A31" s="17" t="s">
        <v>42</v>
      </c>
      <c r="B31" s="11" t="s">
        <v>9</v>
      </c>
      <c r="C31" s="15" t="s">
        <v>41</v>
      </c>
      <c r="D31" s="14">
        <v>5000</v>
      </c>
      <c r="E31" s="16" t="s">
        <v>43</v>
      </c>
      <c r="F31" s="10">
        <v>5001463315</v>
      </c>
    </row>
    <row r="32" spans="1:6" x14ac:dyDescent="0.3">
      <c r="A32" s="17" t="s">
        <v>42</v>
      </c>
      <c r="B32" s="11" t="s">
        <v>9</v>
      </c>
      <c r="C32" s="15" t="s">
        <v>41</v>
      </c>
      <c r="D32" s="14">
        <v>1000</v>
      </c>
      <c r="E32" s="16" t="s">
        <v>43</v>
      </c>
      <c r="F32" s="10">
        <v>5001463315</v>
      </c>
    </row>
    <row r="33" spans="1:7" x14ac:dyDescent="0.3">
      <c r="A33" s="9" t="s">
        <v>44</v>
      </c>
      <c r="B33" s="11" t="s">
        <v>45</v>
      </c>
      <c r="C33" s="15" t="s">
        <v>46</v>
      </c>
      <c r="D33" s="14">
        <v>1000</v>
      </c>
      <c r="E33" s="16">
        <v>45366</v>
      </c>
      <c r="F33" s="10">
        <v>5001487242</v>
      </c>
      <c r="G33" s="1"/>
    </row>
    <row r="34" spans="1:7" x14ac:dyDescent="0.3">
      <c r="A34" s="9" t="s">
        <v>47</v>
      </c>
      <c r="B34" s="11" t="s">
        <v>19</v>
      </c>
      <c r="C34" s="15" t="s">
        <v>48</v>
      </c>
      <c r="D34" s="14">
        <v>1000</v>
      </c>
      <c r="E34" s="16">
        <v>45366</v>
      </c>
      <c r="F34" s="10">
        <v>5001518771</v>
      </c>
      <c r="G34" s="6"/>
    </row>
    <row r="35" spans="1:7" x14ac:dyDescent="0.3">
      <c r="A35" s="9"/>
      <c r="B35" s="11"/>
      <c r="C35" s="15"/>
      <c r="D35" s="14"/>
      <c r="E35" s="16"/>
      <c r="F35" s="10"/>
      <c r="G35" s="6"/>
    </row>
    <row r="36" spans="1:7" x14ac:dyDescent="0.3">
      <c r="A36" s="9" t="s">
        <v>49</v>
      </c>
      <c r="B36" s="11" t="s">
        <v>50</v>
      </c>
      <c r="C36" s="15" t="s">
        <v>51</v>
      </c>
      <c r="D36" s="14">
        <v>3000</v>
      </c>
      <c r="E36" s="16">
        <v>45366</v>
      </c>
      <c r="F36" s="10">
        <v>5001376347</v>
      </c>
      <c r="G36" s="10">
        <v>5001404316</v>
      </c>
    </row>
    <row r="37" spans="1:7" x14ac:dyDescent="0.3">
      <c r="A37" s="9">
        <v>222782</v>
      </c>
      <c r="B37" s="11" t="s">
        <v>7</v>
      </c>
      <c r="C37" s="15" t="s">
        <v>52</v>
      </c>
      <c r="D37" s="14">
        <v>30000</v>
      </c>
      <c r="E37" s="16">
        <v>45366</v>
      </c>
      <c r="F37" s="10">
        <v>5001478446</v>
      </c>
      <c r="G37" s="1"/>
    </row>
    <row r="38" spans="1:7" x14ac:dyDescent="0.3">
      <c r="A38" s="9">
        <v>226485</v>
      </c>
      <c r="B38" s="11" t="s">
        <v>53</v>
      </c>
      <c r="C38" s="15" t="s">
        <v>54</v>
      </c>
      <c r="D38" s="14">
        <v>15000</v>
      </c>
      <c r="E38" s="16">
        <v>45366</v>
      </c>
      <c r="F38" s="10">
        <v>5001363863</v>
      </c>
      <c r="G38" s="1"/>
    </row>
    <row r="39" spans="1:7" x14ac:dyDescent="0.3">
      <c r="A39" s="9">
        <v>417293</v>
      </c>
      <c r="B39" s="11" t="s">
        <v>6</v>
      </c>
      <c r="C39" s="15" t="s">
        <v>55</v>
      </c>
      <c r="D39" s="14">
        <v>3000</v>
      </c>
      <c r="E39" s="16">
        <v>45366</v>
      </c>
      <c r="F39" s="10">
        <v>5001489644</v>
      </c>
      <c r="G39" s="1"/>
    </row>
    <row r="40" spans="1:7" x14ac:dyDescent="0.3">
      <c r="A40" s="9">
        <v>417293</v>
      </c>
      <c r="B40" s="11" t="s">
        <v>6</v>
      </c>
      <c r="C40" s="15" t="s">
        <v>55</v>
      </c>
      <c r="D40" s="14">
        <v>3500</v>
      </c>
      <c r="E40" s="16">
        <v>45366</v>
      </c>
      <c r="F40" s="10">
        <v>5001489644</v>
      </c>
      <c r="G40" s="1"/>
    </row>
    <row r="41" spans="1:7" x14ac:dyDescent="0.3">
      <c r="A41" s="9">
        <v>417620</v>
      </c>
      <c r="B41" s="11" t="s">
        <v>56</v>
      </c>
      <c r="C41" s="15" t="s">
        <v>57</v>
      </c>
      <c r="D41" s="14">
        <v>1000</v>
      </c>
      <c r="E41" s="16">
        <v>45366</v>
      </c>
      <c r="F41" s="10">
        <v>5001404316</v>
      </c>
      <c r="G41" s="1"/>
    </row>
    <row r="42" spans="1:7" x14ac:dyDescent="0.3">
      <c r="A42" s="9">
        <v>417620</v>
      </c>
      <c r="B42" s="11" t="s">
        <v>56</v>
      </c>
      <c r="C42" s="15" t="s">
        <v>57</v>
      </c>
      <c r="D42" s="14">
        <v>1000</v>
      </c>
      <c r="E42" s="16">
        <v>45366</v>
      </c>
      <c r="F42" s="10">
        <v>5001404316</v>
      </c>
      <c r="G42" s="1"/>
    </row>
    <row r="43" spans="1:7" x14ac:dyDescent="0.3">
      <c r="A43" s="9">
        <v>530586</v>
      </c>
      <c r="B43" s="11" t="s">
        <v>58</v>
      </c>
      <c r="C43" s="15" t="s">
        <v>59</v>
      </c>
      <c r="D43" s="14">
        <v>3000</v>
      </c>
      <c r="E43" s="16">
        <v>45366</v>
      </c>
      <c r="F43" s="10">
        <v>5001452210</v>
      </c>
      <c r="G43" s="10">
        <v>5001473494</v>
      </c>
    </row>
    <row r="44" spans="1:7" x14ac:dyDescent="0.3">
      <c r="A44" s="9">
        <v>530586</v>
      </c>
      <c r="B44" s="11" t="s">
        <v>58</v>
      </c>
      <c r="C44" s="15" t="s">
        <v>59</v>
      </c>
      <c r="D44" s="14">
        <v>1500</v>
      </c>
      <c r="E44" s="16">
        <v>45366</v>
      </c>
      <c r="F44" s="10">
        <v>5001452210</v>
      </c>
      <c r="G44" s="10">
        <v>5001473494</v>
      </c>
    </row>
    <row r="45" spans="1:7" x14ac:dyDescent="0.3">
      <c r="A45" s="9">
        <v>530586</v>
      </c>
      <c r="B45" s="11" t="s">
        <v>58</v>
      </c>
      <c r="C45" s="15" t="s">
        <v>59</v>
      </c>
      <c r="D45" s="14">
        <v>70500</v>
      </c>
      <c r="E45" s="16">
        <v>45366</v>
      </c>
      <c r="F45" s="10">
        <v>5001452210</v>
      </c>
      <c r="G45" s="10">
        <v>5001473494</v>
      </c>
    </row>
    <row r="46" spans="1:7" x14ac:dyDescent="0.3">
      <c r="A46" s="9">
        <v>558011</v>
      </c>
      <c r="B46" s="11" t="s">
        <v>60</v>
      </c>
      <c r="C46" s="15" t="s">
        <v>61</v>
      </c>
      <c r="D46" s="14">
        <v>4000</v>
      </c>
      <c r="E46" s="16">
        <v>45366</v>
      </c>
      <c r="F46" s="10">
        <v>5001462418</v>
      </c>
      <c r="G46" s="10"/>
    </row>
    <row r="47" spans="1:7" x14ac:dyDescent="0.3">
      <c r="A47" s="9">
        <v>558011</v>
      </c>
      <c r="B47" s="11" t="s">
        <v>60</v>
      </c>
      <c r="C47" s="15" t="s">
        <v>61</v>
      </c>
      <c r="D47" s="14">
        <v>20000</v>
      </c>
      <c r="E47" s="16">
        <v>45366</v>
      </c>
      <c r="F47" s="10">
        <v>5001462418</v>
      </c>
      <c r="G47" s="1"/>
    </row>
    <row r="48" spans="1:7" x14ac:dyDescent="0.3">
      <c r="A48" s="9" t="s">
        <v>62</v>
      </c>
      <c r="B48" s="11" t="s">
        <v>63</v>
      </c>
      <c r="C48" s="15" t="s">
        <v>64</v>
      </c>
      <c r="D48" s="14">
        <v>10000</v>
      </c>
      <c r="E48" s="16">
        <v>45399</v>
      </c>
      <c r="F48" s="10" t="s">
        <v>66</v>
      </c>
    </row>
    <row r="49" spans="1:7" x14ac:dyDescent="0.3">
      <c r="A49" s="9" t="s">
        <v>62</v>
      </c>
      <c r="B49" s="11" t="s">
        <v>63</v>
      </c>
      <c r="C49" s="15" t="s">
        <v>64</v>
      </c>
      <c r="D49" s="14">
        <v>40000</v>
      </c>
      <c r="E49" s="16">
        <v>45399</v>
      </c>
      <c r="F49" s="10" t="s">
        <v>66</v>
      </c>
    </row>
    <row r="50" spans="1:7" x14ac:dyDescent="0.3">
      <c r="A50" s="9">
        <v>287063</v>
      </c>
      <c r="B50" s="11" t="s">
        <v>9</v>
      </c>
      <c r="C50" s="15" t="s">
        <v>41</v>
      </c>
      <c r="D50" s="14">
        <v>5000</v>
      </c>
      <c r="E50" s="16">
        <v>45399</v>
      </c>
      <c r="F50" s="10" t="s">
        <v>67</v>
      </c>
    </row>
    <row r="51" spans="1:7" x14ac:dyDescent="0.3">
      <c r="A51" s="9">
        <v>287063</v>
      </c>
      <c r="B51" s="11" t="s">
        <v>9</v>
      </c>
      <c r="C51" s="15" t="s">
        <v>41</v>
      </c>
      <c r="D51" s="14">
        <v>35000</v>
      </c>
      <c r="E51" s="16">
        <v>45399</v>
      </c>
      <c r="F51" s="10" t="s">
        <v>67</v>
      </c>
    </row>
    <row r="52" spans="1:7" x14ac:dyDescent="0.3">
      <c r="A52" s="9">
        <v>558011</v>
      </c>
      <c r="B52" s="11" t="s">
        <v>60</v>
      </c>
      <c r="C52" s="15" t="s">
        <v>61</v>
      </c>
      <c r="D52" s="14">
        <v>2000</v>
      </c>
      <c r="E52" s="16">
        <v>45399</v>
      </c>
      <c r="F52" s="10" t="s">
        <v>68</v>
      </c>
    </row>
    <row r="53" spans="1:7" x14ac:dyDescent="0.3">
      <c r="A53" s="9">
        <v>70106222</v>
      </c>
      <c r="B53" s="11" t="s">
        <v>20</v>
      </c>
      <c r="C53" s="15" t="s">
        <v>65</v>
      </c>
      <c r="D53" s="14">
        <v>5000</v>
      </c>
      <c r="E53" s="16">
        <v>45399</v>
      </c>
      <c r="F53" s="10" t="s">
        <v>69</v>
      </c>
    </row>
    <row r="54" spans="1:7" x14ac:dyDescent="0.3">
      <c r="A54" s="9">
        <v>70106222</v>
      </c>
      <c r="B54" s="11" t="s">
        <v>20</v>
      </c>
      <c r="C54" s="15" t="s">
        <v>65</v>
      </c>
      <c r="D54" s="14">
        <v>10000</v>
      </c>
      <c r="E54" s="16">
        <v>45399</v>
      </c>
      <c r="F54" s="10" t="s">
        <v>69</v>
      </c>
    </row>
    <row r="55" spans="1:7" x14ac:dyDescent="0.3">
      <c r="A55" s="9">
        <v>558011</v>
      </c>
      <c r="B55" s="11" t="s">
        <v>60</v>
      </c>
      <c r="C55" s="15" t="s">
        <v>61</v>
      </c>
      <c r="D55" s="14">
        <v>2000</v>
      </c>
      <c r="E55" s="16"/>
      <c r="F55" s="10"/>
    </row>
    <row r="56" spans="1:7" x14ac:dyDescent="0.3">
      <c r="A56" s="9" t="s">
        <v>42</v>
      </c>
      <c r="B56" s="11" t="s">
        <v>9</v>
      </c>
      <c r="C56" s="11" t="s">
        <v>70</v>
      </c>
      <c r="D56" s="14">
        <f>43000-5000</f>
        <v>38000</v>
      </c>
      <c r="E56" s="16">
        <v>45548</v>
      </c>
      <c r="F56" s="10">
        <v>5001385430</v>
      </c>
    </row>
    <row r="57" spans="1:7" x14ac:dyDescent="0.3">
      <c r="A57" s="9" t="s">
        <v>42</v>
      </c>
      <c r="B57" s="11" t="s">
        <v>9</v>
      </c>
      <c r="C57" s="11" t="s">
        <v>70</v>
      </c>
      <c r="D57" s="14">
        <f>62000-D56</f>
        <v>24000</v>
      </c>
      <c r="E57" s="16">
        <v>45548</v>
      </c>
      <c r="F57" s="10">
        <v>5001491016</v>
      </c>
    </row>
    <row r="58" spans="1:7" x14ac:dyDescent="0.3">
      <c r="A58" s="19" t="s">
        <v>71</v>
      </c>
      <c r="B58" s="19" t="s">
        <v>72</v>
      </c>
      <c r="C58" s="20" t="s">
        <v>73</v>
      </c>
      <c r="D58" s="21">
        <v>1100</v>
      </c>
      <c r="E58" s="22">
        <v>45582</v>
      </c>
      <c r="F58" s="23">
        <v>14910</v>
      </c>
    </row>
    <row r="59" spans="1:7" x14ac:dyDescent="0.3">
      <c r="A59">
        <v>106567715</v>
      </c>
      <c r="B59" t="s">
        <v>74</v>
      </c>
      <c r="C59" t="s">
        <v>75</v>
      </c>
      <c r="D59" s="24">
        <v>5000</v>
      </c>
      <c r="E59" s="25">
        <v>45597</v>
      </c>
      <c r="F59" s="26">
        <v>4513131574</v>
      </c>
    </row>
    <row r="60" spans="1:7" x14ac:dyDescent="0.3">
      <c r="A60" s="27" t="s">
        <v>78</v>
      </c>
      <c r="B60" s="11" t="s">
        <v>7</v>
      </c>
      <c r="C60" s="11" t="s">
        <v>52</v>
      </c>
      <c r="D60" s="24">
        <v>40000</v>
      </c>
      <c r="E60" s="16">
        <v>45611</v>
      </c>
      <c r="F60" s="10" t="s">
        <v>83</v>
      </c>
      <c r="G60" s="10"/>
    </row>
    <row r="61" spans="1:7" x14ac:dyDescent="0.3">
      <c r="A61" s="9" t="s">
        <v>42</v>
      </c>
      <c r="B61" s="11" t="s">
        <v>9</v>
      </c>
      <c r="C61" s="11" t="s">
        <v>41</v>
      </c>
      <c r="D61">
        <v>31000</v>
      </c>
      <c r="E61" s="16">
        <v>45611</v>
      </c>
      <c r="F61" s="10" t="s">
        <v>84</v>
      </c>
      <c r="G61" s="10"/>
    </row>
    <row r="62" spans="1:7" x14ac:dyDescent="0.3">
      <c r="A62" s="9" t="s">
        <v>42</v>
      </c>
      <c r="B62" s="11" t="s">
        <v>9</v>
      </c>
      <c r="C62" s="11" t="s">
        <v>41</v>
      </c>
      <c r="D62">
        <v>14000</v>
      </c>
      <c r="E62" s="16">
        <v>45611</v>
      </c>
      <c r="F62" s="10" t="s">
        <v>84</v>
      </c>
      <c r="G62" s="10"/>
    </row>
    <row r="63" spans="1:7" x14ac:dyDescent="0.3">
      <c r="A63" s="9" t="s">
        <v>79</v>
      </c>
      <c r="B63" s="11" t="s">
        <v>20</v>
      </c>
      <c r="C63" s="11" t="s">
        <v>65</v>
      </c>
      <c r="D63" s="24">
        <v>40000</v>
      </c>
      <c r="E63" s="16">
        <v>45611</v>
      </c>
      <c r="F63" s="10">
        <v>5001548487</v>
      </c>
      <c r="G63" s="10"/>
    </row>
    <row r="64" spans="1:7" x14ac:dyDescent="0.3">
      <c r="A64" s="9" t="s">
        <v>80</v>
      </c>
      <c r="B64" s="11" t="s">
        <v>76</v>
      </c>
      <c r="C64" s="11" t="s">
        <v>81</v>
      </c>
      <c r="D64" s="24">
        <v>20000</v>
      </c>
      <c r="E64" s="16">
        <v>45611</v>
      </c>
      <c r="F64" s="10">
        <v>5001556062</v>
      </c>
      <c r="G64" s="10"/>
    </row>
    <row r="65" spans="1:8" x14ac:dyDescent="0.3">
      <c r="A65" s="9">
        <v>213271</v>
      </c>
      <c r="B65" s="11" t="s">
        <v>77</v>
      </c>
      <c r="C65" s="11" t="s">
        <v>82</v>
      </c>
      <c r="D65" s="24">
        <v>8000</v>
      </c>
      <c r="E65" s="16">
        <v>45611</v>
      </c>
      <c r="F65" s="10">
        <v>5001404316</v>
      </c>
      <c r="G65" s="10"/>
    </row>
    <row r="66" spans="1:8" ht="27.6" x14ac:dyDescent="0.3">
      <c r="A66" s="28" t="s">
        <v>86</v>
      </c>
      <c r="B66" s="28" t="s">
        <v>87</v>
      </c>
      <c r="C66" s="29" t="s">
        <v>88</v>
      </c>
      <c r="D66" s="24">
        <v>500</v>
      </c>
      <c r="E66" s="30">
        <v>45623</v>
      </c>
      <c r="F66" s="30"/>
    </row>
    <row r="67" spans="1:8" x14ac:dyDescent="0.3">
      <c r="A67" s="31">
        <v>106567715</v>
      </c>
      <c r="B67" s="32" t="s">
        <v>74</v>
      </c>
      <c r="C67" s="33" t="s">
        <v>75</v>
      </c>
      <c r="D67" s="24">
        <v>100000</v>
      </c>
      <c r="E67" s="25">
        <v>45635</v>
      </c>
      <c r="F67" s="34">
        <v>4513201540</v>
      </c>
      <c r="H67">
        <v>1003499890</v>
      </c>
    </row>
    <row r="69" spans="1:8" x14ac:dyDescent="0.3">
      <c r="A69" s="9" t="s">
        <v>42</v>
      </c>
      <c r="B69" s="11" t="s">
        <v>9</v>
      </c>
      <c r="C69" s="11" t="s">
        <v>41</v>
      </c>
      <c r="D69" s="24">
        <v>86000</v>
      </c>
      <c r="E69" s="16">
        <v>45611</v>
      </c>
      <c r="F69" s="10" t="s">
        <v>93</v>
      </c>
      <c r="H69" t="s">
        <v>94</v>
      </c>
    </row>
    <row r="70" spans="1:8" x14ac:dyDescent="0.3">
      <c r="A70" s="9" t="s">
        <v>91</v>
      </c>
      <c r="B70" s="11" t="s">
        <v>6</v>
      </c>
      <c r="C70" s="11" t="s">
        <v>92</v>
      </c>
      <c r="D70" s="14">
        <v>10000</v>
      </c>
      <c r="E70" s="16">
        <v>45641</v>
      </c>
      <c r="F70" s="10">
        <v>5001544220</v>
      </c>
      <c r="G70" s="10"/>
      <c r="H70" s="35" t="s">
        <v>95</v>
      </c>
    </row>
    <row r="71" spans="1:8" x14ac:dyDescent="0.3">
      <c r="A71" s="9" t="s">
        <v>39</v>
      </c>
      <c r="B71" s="11" t="s">
        <v>40</v>
      </c>
      <c r="C71" s="11" t="s">
        <v>89</v>
      </c>
      <c r="D71" s="14">
        <v>55000</v>
      </c>
      <c r="E71" s="16">
        <v>45641</v>
      </c>
      <c r="F71" s="10" t="s">
        <v>90</v>
      </c>
      <c r="G71" s="10"/>
      <c r="H71" s="16" t="s">
        <v>96</v>
      </c>
    </row>
    <row r="73" spans="1:8" x14ac:dyDescent="0.3">
      <c r="A73" s="31">
        <v>106567715</v>
      </c>
      <c r="B73" s="32" t="s">
        <v>74</v>
      </c>
      <c r="C73" s="33" t="s">
        <v>75</v>
      </c>
      <c r="D73" s="24">
        <v>100000</v>
      </c>
      <c r="E73" s="25">
        <v>45646</v>
      </c>
      <c r="F73" s="34">
        <v>4513240992</v>
      </c>
      <c r="G73" s="34"/>
      <c r="H73">
        <v>1003499890</v>
      </c>
    </row>
    <row r="75" spans="1:8" x14ac:dyDescent="0.3">
      <c r="A75">
        <v>115073003</v>
      </c>
      <c r="B75">
        <v>96025105001</v>
      </c>
      <c r="C75" t="s">
        <v>98</v>
      </c>
      <c r="D75">
        <v>50000</v>
      </c>
      <c r="E75" t="s">
        <v>99</v>
      </c>
      <c r="F75" s="25">
        <v>45770</v>
      </c>
      <c r="G75">
        <v>4513327547</v>
      </c>
    </row>
    <row r="77" spans="1:8" x14ac:dyDescent="0.3">
      <c r="A77">
        <v>106567715</v>
      </c>
      <c r="B77" t="s">
        <v>74</v>
      </c>
      <c r="C77" t="s">
        <v>100</v>
      </c>
      <c r="D77">
        <v>10000</v>
      </c>
      <c r="F77" s="25">
        <v>45782</v>
      </c>
      <c r="G77">
        <v>4513399139</v>
      </c>
    </row>
    <row r="79" spans="1:8" x14ac:dyDescent="0.3">
      <c r="A79">
        <v>70106222</v>
      </c>
      <c r="B79" t="s">
        <v>20</v>
      </c>
      <c r="C79" t="s">
        <v>65</v>
      </c>
      <c r="D79">
        <v>80000</v>
      </c>
      <c r="E79" s="25"/>
      <c r="F79" s="25">
        <v>45785</v>
      </c>
      <c r="G79">
        <v>5001595935</v>
      </c>
    </row>
    <row r="81" spans="1:7" x14ac:dyDescent="0.3">
      <c r="A81">
        <v>70163200</v>
      </c>
      <c r="B81">
        <v>96028504027</v>
      </c>
      <c r="C81" t="s">
        <v>101</v>
      </c>
      <c r="D81">
        <v>1000</v>
      </c>
      <c r="F81" s="25">
        <v>45785</v>
      </c>
      <c r="G81">
        <v>5001600565</v>
      </c>
    </row>
    <row r="83" spans="1:7" x14ac:dyDescent="0.3">
      <c r="A83" s="18" t="s">
        <v>103</v>
      </c>
      <c r="B83">
        <v>96028604000</v>
      </c>
      <c r="C83" t="s">
        <v>102</v>
      </c>
      <c r="D83">
        <v>20000</v>
      </c>
      <c r="F83" s="25">
        <v>45785</v>
      </c>
      <c r="G83">
        <v>5001606799</v>
      </c>
    </row>
    <row r="84" spans="1:7" x14ac:dyDescent="0.3">
      <c r="A84">
        <v>106567715</v>
      </c>
      <c r="B84" t="s">
        <v>74</v>
      </c>
      <c r="C84" t="s">
        <v>100</v>
      </c>
      <c r="D84">
        <v>10000</v>
      </c>
      <c r="F84" s="25">
        <v>45797</v>
      </c>
      <c r="G84">
        <v>4513481284</v>
      </c>
    </row>
    <row r="87" spans="1:7" x14ac:dyDescent="0.3">
      <c r="A87">
        <v>106567715</v>
      </c>
      <c r="B87" t="s">
        <v>74</v>
      </c>
      <c r="C87" t="s">
        <v>100</v>
      </c>
      <c r="D87">
        <v>5000</v>
      </c>
      <c r="F87" s="25">
        <v>45797</v>
      </c>
      <c r="G87">
        <v>4513481284</v>
      </c>
    </row>
    <row r="89" spans="1:7" x14ac:dyDescent="0.3">
      <c r="A89">
        <v>2000062855</v>
      </c>
      <c r="B89">
        <v>96006200512</v>
      </c>
      <c r="C89" t="s">
        <v>104</v>
      </c>
      <c r="D89">
        <v>1000</v>
      </c>
      <c r="E89">
        <v>29042025</v>
      </c>
      <c r="F89" s="25">
        <v>45818</v>
      </c>
      <c r="G89">
        <v>4500263597</v>
      </c>
    </row>
    <row r="91" spans="1:7" x14ac:dyDescent="0.3">
      <c r="A91">
        <v>2000062855</v>
      </c>
      <c r="B91">
        <v>96006200512</v>
      </c>
      <c r="C91" t="s">
        <v>104</v>
      </c>
      <c r="D91">
        <v>100</v>
      </c>
      <c r="E91">
        <v>29042025</v>
      </c>
      <c r="F91" s="25">
        <v>45818</v>
      </c>
      <c r="G91">
        <v>4500470562</v>
      </c>
    </row>
    <row r="93" spans="1:7" x14ac:dyDescent="0.3">
      <c r="A93">
        <v>2000062856</v>
      </c>
      <c r="B93">
        <v>96006300512</v>
      </c>
      <c r="C93" t="s">
        <v>105</v>
      </c>
      <c r="D93">
        <v>500</v>
      </c>
      <c r="E93">
        <v>29042025</v>
      </c>
      <c r="F93" s="25">
        <v>45818</v>
      </c>
      <c r="G93">
        <v>4500263597</v>
      </c>
    </row>
    <row r="95" spans="1:7" x14ac:dyDescent="0.3">
      <c r="A95">
        <v>2000062844</v>
      </c>
      <c r="B95" t="s">
        <v>19</v>
      </c>
      <c r="C95" t="s">
        <v>106</v>
      </c>
      <c r="D95">
        <v>10000</v>
      </c>
      <c r="E95" s="18" t="s">
        <v>107</v>
      </c>
      <c r="F95" s="25">
        <v>45818</v>
      </c>
      <c r="G95">
        <v>4500470562</v>
      </c>
    </row>
    <row r="97" spans="1:7" x14ac:dyDescent="0.3">
      <c r="A97">
        <v>1.2030006001E+16</v>
      </c>
      <c r="B97" t="s">
        <v>72</v>
      </c>
      <c r="C97" t="s">
        <v>108</v>
      </c>
      <c r="D97">
        <v>3000</v>
      </c>
      <c r="E97" t="s">
        <v>109</v>
      </c>
      <c r="F97" s="25">
        <v>45821</v>
      </c>
      <c r="G97">
        <v>17060</v>
      </c>
    </row>
    <row r="99" spans="1:7" x14ac:dyDescent="0.3">
      <c r="A99">
        <v>106567715</v>
      </c>
      <c r="B99" t="s">
        <v>74</v>
      </c>
      <c r="C99" t="s">
        <v>100</v>
      </c>
      <c r="D99">
        <v>300000</v>
      </c>
      <c r="F99" s="25">
        <v>45827</v>
      </c>
      <c r="G99">
        <v>4513481284</v>
      </c>
    </row>
    <row r="101" spans="1:7" ht="41.4" x14ac:dyDescent="0.3">
      <c r="A101" s="36">
        <v>133690</v>
      </c>
      <c r="B101" s="37" t="s">
        <v>110</v>
      </c>
      <c r="C101">
        <v>15000</v>
      </c>
      <c r="D101">
        <v>290425</v>
      </c>
      <c r="E101" s="25">
        <v>45828</v>
      </c>
      <c r="F101" s="36">
        <v>5001608748</v>
      </c>
    </row>
    <row r="107" spans="1:7" ht="27.6" x14ac:dyDescent="0.3">
      <c r="A107" s="38" t="s">
        <v>80</v>
      </c>
      <c r="B107" s="37" t="s">
        <v>112</v>
      </c>
      <c r="C107">
        <v>40000</v>
      </c>
      <c r="E107" s="25">
        <v>45828</v>
      </c>
      <c r="F107" s="36" t="s">
        <v>113</v>
      </c>
    </row>
    <row r="109" spans="1:7" x14ac:dyDescent="0.3">
      <c r="A109">
        <v>106567715</v>
      </c>
      <c r="B109" t="s">
        <v>74</v>
      </c>
      <c r="C109" t="s">
        <v>100</v>
      </c>
      <c r="D109">
        <v>5000</v>
      </c>
      <c r="F109" s="25">
        <v>45797</v>
      </c>
      <c r="G109">
        <v>4513481284</v>
      </c>
    </row>
    <row r="111" spans="1:7" x14ac:dyDescent="0.3">
      <c r="A111">
        <v>2000062855</v>
      </c>
      <c r="B111">
        <v>96006200512</v>
      </c>
      <c r="C111" t="s">
        <v>104</v>
      </c>
      <c r="D111">
        <v>1000</v>
      </c>
      <c r="E111">
        <v>29042025</v>
      </c>
      <c r="F111" s="25">
        <v>45818</v>
      </c>
      <c r="G111">
        <v>4500263597</v>
      </c>
    </row>
    <row r="113" spans="1:7" x14ac:dyDescent="0.3">
      <c r="A113">
        <v>2000062855</v>
      </c>
      <c r="B113">
        <v>96006200512</v>
      </c>
      <c r="C113" t="s">
        <v>104</v>
      </c>
      <c r="D113">
        <v>100</v>
      </c>
      <c r="E113">
        <v>29042025</v>
      </c>
      <c r="F113" s="25">
        <v>45818</v>
      </c>
      <c r="G113">
        <v>4500470562</v>
      </c>
    </row>
    <row r="115" spans="1:7" x14ac:dyDescent="0.3">
      <c r="A115">
        <v>2000062856</v>
      </c>
      <c r="B115">
        <v>96006300512</v>
      </c>
      <c r="C115" t="s">
        <v>105</v>
      </c>
      <c r="D115">
        <v>500</v>
      </c>
      <c r="E115">
        <v>29042025</v>
      </c>
      <c r="F115" s="25">
        <v>45818</v>
      </c>
      <c r="G115">
        <v>4500263597</v>
      </c>
    </row>
    <row r="117" spans="1:7" x14ac:dyDescent="0.3">
      <c r="A117">
        <v>2000062844</v>
      </c>
      <c r="B117" t="s">
        <v>19</v>
      </c>
      <c r="C117" t="s">
        <v>106</v>
      </c>
      <c r="D117">
        <v>10000</v>
      </c>
      <c r="E117" s="18" t="s">
        <v>107</v>
      </c>
      <c r="F117" s="25">
        <v>45818</v>
      </c>
      <c r="G117">
        <v>4500470562</v>
      </c>
    </row>
    <row r="119" spans="1:7" ht="41.4" x14ac:dyDescent="0.3">
      <c r="A119" s="36">
        <v>133690</v>
      </c>
      <c r="B119" s="36">
        <v>96028404025</v>
      </c>
      <c r="C119" s="37" t="s">
        <v>110</v>
      </c>
      <c r="D119">
        <v>15000</v>
      </c>
      <c r="E119">
        <v>290425</v>
      </c>
      <c r="F119" s="25">
        <v>45828</v>
      </c>
      <c r="G119" s="36">
        <v>5001608748</v>
      </c>
    </row>
    <row r="121" spans="1:7" ht="27.6" x14ac:dyDescent="0.3">
      <c r="A121" s="36">
        <v>70119304</v>
      </c>
      <c r="B121" s="36" t="s">
        <v>18</v>
      </c>
      <c r="C121" s="37" t="s">
        <v>111</v>
      </c>
      <c r="D121">
        <v>40000</v>
      </c>
      <c r="F121" s="25">
        <v>45828</v>
      </c>
      <c r="G121" s="36">
        <v>5001611522</v>
      </c>
    </row>
    <row r="123" spans="1:7" ht="27.6" x14ac:dyDescent="0.3">
      <c r="A123" s="38" t="s">
        <v>80</v>
      </c>
      <c r="B123" s="36" t="s">
        <v>76</v>
      </c>
      <c r="C123" s="37" t="s">
        <v>112</v>
      </c>
      <c r="D123">
        <v>40000</v>
      </c>
      <c r="F123" s="25">
        <v>45828</v>
      </c>
      <c r="G123" s="36" t="s">
        <v>113</v>
      </c>
    </row>
    <row r="125" spans="1:7" ht="27.6" x14ac:dyDescent="0.3">
      <c r="A125" s="36">
        <v>70106222</v>
      </c>
      <c r="B125" s="36" t="s">
        <v>20</v>
      </c>
      <c r="C125" s="37" t="s">
        <v>65</v>
      </c>
      <c r="D125">
        <v>80000</v>
      </c>
      <c r="F125" s="25">
        <v>45828</v>
      </c>
      <c r="G125" s="36">
        <v>5001602895</v>
      </c>
    </row>
    <row r="127" spans="1:7" ht="41.4" x14ac:dyDescent="0.3">
      <c r="A127" s="36">
        <v>70192799</v>
      </c>
      <c r="B127" s="36" t="s">
        <v>114</v>
      </c>
      <c r="C127" s="37" t="s">
        <v>115</v>
      </c>
      <c r="D127" s="39">
        <v>5000</v>
      </c>
      <c r="E127" t="s">
        <v>116</v>
      </c>
      <c r="F127" s="25">
        <v>45828</v>
      </c>
      <c r="G127" s="36">
        <v>5001612435</v>
      </c>
    </row>
    <row r="129" spans="1:7" ht="27.6" x14ac:dyDescent="0.3">
      <c r="A129">
        <v>1735969</v>
      </c>
      <c r="B129" t="s">
        <v>117</v>
      </c>
      <c r="C129" s="37" t="s">
        <v>118</v>
      </c>
      <c r="D129">
        <v>100000</v>
      </c>
      <c r="E129" t="s">
        <v>119</v>
      </c>
      <c r="F129" s="25">
        <v>45832</v>
      </c>
      <c r="G129">
        <v>4500050384</v>
      </c>
    </row>
    <row r="131" spans="1:7" x14ac:dyDescent="0.3">
      <c r="A131">
        <v>115073003</v>
      </c>
      <c r="B131">
        <v>96025105001</v>
      </c>
      <c r="C131" t="s">
        <v>98</v>
      </c>
      <c r="D131">
        <v>50000</v>
      </c>
      <c r="E131" t="s">
        <v>99</v>
      </c>
      <c r="F131" s="25">
        <v>45859</v>
      </c>
      <c r="G131">
        <v>4513506752</v>
      </c>
    </row>
    <row r="132" spans="1:7" x14ac:dyDescent="0.3">
      <c r="A132">
        <v>115073003</v>
      </c>
      <c r="B132">
        <v>96025105001</v>
      </c>
      <c r="C132" t="s">
        <v>98</v>
      </c>
      <c r="E132" t="s">
        <v>120</v>
      </c>
      <c r="F132" s="25">
        <v>45859</v>
      </c>
      <c r="G132">
        <v>4513506752</v>
      </c>
    </row>
    <row r="134" spans="1:7" x14ac:dyDescent="0.3">
      <c r="A134">
        <v>112980743</v>
      </c>
      <c r="B134" t="s">
        <v>121</v>
      </c>
      <c r="C134" t="s">
        <v>122</v>
      </c>
      <c r="D134">
        <v>2000</v>
      </c>
      <c r="E134">
        <v>236472</v>
      </c>
      <c r="F134" s="25">
        <v>45859</v>
      </c>
      <c r="G134">
        <v>4513398381</v>
      </c>
    </row>
    <row r="136" spans="1:7" x14ac:dyDescent="0.3">
      <c r="A136" s="18" t="s">
        <v>71</v>
      </c>
      <c r="B136" t="s">
        <v>72</v>
      </c>
      <c r="C136" t="s">
        <v>108</v>
      </c>
      <c r="D136">
        <v>500</v>
      </c>
      <c r="E136" t="s">
        <v>109</v>
      </c>
      <c r="F136" s="25">
        <v>45862</v>
      </c>
      <c r="G136">
        <v>17865</v>
      </c>
    </row>
    <row r="138" spans="1:7" ht="27.6" x14ac:dyDescent="0.3">
      <c r="A138" s="33" t="s">
        <v>125</v>
      </c>
      <c r="B138" s="33" t="s">
        <v>87</v>
      </c>
      <c r="C138" s="34" t="s">
        <v>126</v>
      </c>
      <c r="D138" s="41">
        <v>150</v>
      </c>
      <c r="E138" t="s">
        <v>127</v>
      </c>
      <c r="F138" s="25">
        <v>45866</v>
      </c>
      <c r="G138" t="s">
        <v>128</v>
      </c>
    </row>
    <row r="140" spans="1:7" x14ac:dyDescent="0.3">
      <c r="A140">
        <v>44723</v>
      </c>
      <c r="B140" t="s">
        <v>40</v>
      </c>
      <c r="C140" t="s">
        <v>97</v>
      </c>
      <c r="D140">
        <v>182000</v>
      </c>
      <c r="E140" s="40" t="s">
        <v>123</v>
      </c>
      <c r="F140" s="25">
        <v>45868</v>
      </c>
      <c r="G140">
        <v>5001616244</v>
      </c>
    </row>
    <row r="142" spans="1:7" x14ac:dyDescent="0.3">
      <c r="A142">
        <v>70106222</v>
      </c>
      <c r="B142" t="s">
        <v>20</v>
      </c>
      <c r="C142" t="s">
        <v>65</v>
      </c>
      <c r="D142">
        <v>160000</v>
      </c>
      <c r="E142" s="40">
        <v>51106674</v>
      </c>
      <c r="F142" s="25">
        <v>45868</v>
      </c>
      <c r="G142">
        <v>5001615525</v>
      </c>
    </row>
    <row r="144" spans="1:7" x14ac:dyDescent="0.3">
      <c r="A144">
        <v>287063</v>
      </c>
      <c r="B144" t="s">
        <v>9</v>
      </c>
      <c r="C144" t="s">
        <v>41</v>
      </c>
      <c r="D144">
        <v>200000</v>
      </c>
      <c r="E144" s="40" t="s">
        <v>124</v>
      </c>
      <c r="F144" s="25">
        <v>45868</v>
      </c>
      <c r="G144">
        <v>5001621319</v>
      </c>
    </row>
    <row r="146" spans="1:7" x14ac:dyDescent="0.3">
      <c r="A146">
        <v>222782</v>
      </c>
      <c r="B146" t="s">
        <v>7</v>
      </c>
      <c r="C146" t="s">
        <v>52</v>
      </c>
      <c r="D146">
        <v>30000</v>
      </c>
      <c r="E146" s="40">
        <v>4486778</v>
      </c>
      <c r="F146" s="25">
        <v>45868</v>
      </c>
      <c r="G146">
        <v>5001604466</v>
      </c>
    </row>
    <row r="148" spans="1:7" x14ac:dyDescent="0.3">
      <c r="A148" s="31">
        <v>106567715</v>
      </c>
      <c r="B148" s="32" t="s">
        <v>74</v>
      </c>
      <c r="C148" s="33" t="s">
        <v>100</v>
      </c>
      <c r="D148">
        <v>150000</v>
      </c>
      <c r="E148">
        <v>1003536242</v>
      </c>
      <c r="F148" s="25">
        <v>45880</v>
      </c>
      <c r="G148">
        <v>4513535019</v>
      </c>
    </row>
    <row r="149" spans="1:7" x14ac:dyDescent="0.3">
      <c r="E149">
        <v>1003531599</v>
      </c>
    </row>
    <row r="150" spans="1:7" x14ac:dyDescent="0.3">
      <c r="A150">
        <v>115073003</v>
      </c>
      <c r="B150">
        <v>96025105001</v>
      </c>
      <c r="C150" t="s">
        <v>98</v>
      </c>
      <c r="D150">
        <v>50000</v>
      </c>
      <c r="E150" t="s">
        <v>129</v>
      </c>
      <c r="F150" s="25">
        <v>45892</v>
      </c>
      <c r="G150">
        <v>4513535019</v>
      </c>
    </row>
    <row r="152" spans="1:7" x14ac:dyDescent="0.3">
      <c r="A152">
        <v>2000062695</v>
      </c>
      <c r="B152">
        <v>96005900310</v>
      </c>
      <c r="C152" t="s">
        <v>130</v>
      </c>
      <c r="D152">
        <v>600</v>
      </c>
      <c r="E152" t="s">
        <v>131</v>
      </c>
      <c r="F152" s="25">
        <v>45894</v>
      </c>
      <c r="G152">
        <v>4500263598</v>
      </c>
    </row>
    <row r="154" spans="1:7" x14ac:dyDescent="0.3">
      <c r="A154">
        <v>2000062697</v>
      </c>
      <c r="B154">
        <v>96006400515</v>
      </c>
      <c r="C154" t="s">
        <v>132</v>
      </c>
      <c r="D154">
        <v>100</v>
      </c>
      <c r="E154">
        <v>11241027</v>
      </c>
      <c r="F154" s="25">
        <v>45894</v>
      </c>
      <c r="G154">
        <v>4500263598</v>
      </c>
    </row>
    <row r="156" spans="1:7" x14ac:dyDescent="0.3">
      <c r="A156">
        <v>2000062698</v>
      </c>
      <c r="B156">
        <v>96006500525</v>
      </c>
      <c r="C156" t="s">
        <v>133</v>
      </c>
      <c r="D156">
        <v>200</v>
      </c>
      <c r="E156" t="s">
        <v>134</v>
      </c>
      <c r="F156" s="25">
        <v>45894</v>
      </c>
      <c r="G156">
        <v>4500263598</v>
      </c>
    </row>
    <row r="158" spans="1:7" x14ac:dyDescent="0.3">
      <c r="A158">
        <v>2000062848</v>
      </c>
      <c r="B158">
        <v>96006100416</v>
      </c>
      <c r="C158" t="s">
        <v>135</v>
      </c>
      <c r="D158">
        <v>1000</v>
      </c>
      <c r="E158">
        <v>11241027</v>
      </c>
      <c r="F158" s="25">
        <v>45894</v>
      </c>
      <c r="G158">
        <v>4500445233</v>
      </c>
    </row>
    <row r="160" spans="1:7" x14ac:dyDescent="0.3">
      <c r="A160">
        <v>2000062865</v>
      </c>
      <c r="B160" t="s">
        <v>136</v>
      </c>
      <c r="C160" t="s">
        <v>137</v>
      </c>
      <c r="D160">
        <v>900</v>
      </c>
      <c r="E160" t="s">
        <v>138</v>
      </c>
      <c r="F160" s="25">
        <v>45894</v>
      </c>
      <c r="G160">
        <v>4500516413</v>
      </c>
    </row>
    <row r="162" spans="1:9" ht="27.6" x14ac:dyDescent="0.3">
      <c r="A162" s="42" t="s">
        <v>139</v>
      </c>
      <c r="B162" s="13" t="s">
        <v>72</v>
      </c>
      <c r="C162" s="13" t="s">
        <v>73</v>
      </c>
      <c r="D162" s="13">
        <v>2200</v>
      </c>
      <c r="E162" s="43" t="s">
        <v>109</v>
      </c>
      <c r="F162" s="25">
        <v>45894</v>
      </c>
      <c r="G162" s="13">
        <v>18298</v>
      </c>
    </row>
    <row r="164" spans="1:9" ht="28.8" x14ac:dyDescent="0.3">
      <c r="A164" s="44">
        <v>1851904</v>
      </c>
      <c r="B164" s="45" t="s">
        <v>140</v>
      </c>
      <c r="C164" s="46" t="s">
        <v>141</v>
      </c>
      <c r="D164">
        <v>220000</v>
      </c>
      <c r="E164" t="s">
        <v>142</v>
      </c>
      <c r="F164" s="47">
        <v>45894</v>
      </c>
      <c r="G164" s="48">
        <v>4500065537</v>
      </c>
    </row>
    <row r="166" spans="1:9" x14ac:dyDescent="0.3">
      <c r="A166">
        <v>96033700013</v>
      </c>
      <c r="B166" t="s">
        <v>143</v>
      </c>
      <c r="C166">
        <v>5000</v>
      </c>
      <c r="D166">
        <v>20250605</v>
      </c>
      <c r="E166" s="25">
        <v>45922</v>
      </c>
      <c r="F166">
        <v>5001628243</v>
      </c>
    </row>
    <row r="168" spans="1:9" x14ac:dyDescent="0.3">
      <c r="A168" t="s">
        <v>77</v>
      </c>
      <c r="B168" t="s">
        <v>144</v>
      </c>
      <c r="C168">
        <v>3000</v>
      </c>
      <c r="D168" t="s">
        <v>148</v>
      </c>
      <c r="E168" s="25">
        <v>45922</v>
      </c>
      <c r="F168">
        <v>5001618278</v>
      </c>
    </row>
    <row r="170" spans="1:9" x14ac:dyDescent="0.3">
      <c r="A170" t="s">
        <v>145</v>
      </c>
      <c r="B170" t="s">
        <v>146</v>
      </c>
      <c r="C170">
        <v>10000</v>
      </c>
      <c r="D170">
        <v>160825</v>
      </c>
      <c r="E170" s="25">
        <v>45922</v>
      </c>
      <c r="F170">
        <v>5001628605</v>
      </c>
    </row>
    <row r="172" spans="1:9" x14ac:dyDescent="0.3">
      <c r="A172">
        <v>96028604000</v>
      </c>
      <c r="B172" t="s">
        <v>147</v>
      </c>
      <c r="C172">
        <v>20000</v>
      </c>
      <c r="D172">
        <v>170925</v>
      </c>
      <c r="E172" s="25">
        <v>45922</v>
      </c>
      <c r="F172">
        <v>5001636264</v>
      </c>
    </row>
    <row r="175" spans="1:9" ht="27.6" x14ac:dyDescent="0.3">
      <c r="A175">
        <v>1735969</v>
      </c>
      <c r="B175" t="s">
        <v>117</v>
      </c>
      <c r="C175" s="37" t="s">
        <v>118</v>
      </c>
      <c r="D175">
        <v>2000</v>
      </c>
      <c r="E175" t="s">
        <v>154</v>
      </c>
      <c r="F175" s="58">
        <v>46090</v>
      </c>
      <c r="G175">
        <v>4500070334</v>
      </c>
      <c r="H175">
        <v>4500073685</v>
      </c>
      <c r="I175">
        <v>4500074174</v>
      </c>
    </row>
    <row r="176" spans="1:9" ht="27.6" x14ac:dyDescent="0.3">
      <c r="A176">
        <v>1735969</v>
      </c>
      <c r="B176" t="s">
        <v>117</v>
      </c>
      <c r="C176" s="37" t="s">
        <v>118</v>
      </c>
      <c r="D176">
        <v>1800</v>
      </c>
      <c r="E176" t="s">
        <v>154</v>
      </c>
      <c r="F176" s="58">
        <v>46090</v>
      </c>
      <c r="G176">
        <v>4500070334</v>
      </c>
      <c r="H176">
        <v>4500073685</v>
      </c>
      <c r="I176">
        <v>4500074174</v>
      </c>
    </row>
    <row r="177" spans="1:9" ht="27.6" x14ac:dyDescent="0.3">
      <c r="A177">
        <v>1735969</v>
      </c>
      <c r="B177" t="s">
        <v>117</v>
      </c>
      <c r="C177" s="37" t="s">
        <v>118</v>
      </c>
      <c r="D177">
        <v>903</v>
      </c>
      <c r="E177">
        <v>6343001</v>
      </c>
      <c r="F177" s="58">
        <v>46090</v>
      </c>
      <c r="G177">
        <v>4500070334</v>
      </c>
      <c r="H177">
        <v>4500073685</v>
      </c>
      <c r="I177">
        <v>4500074174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history 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Đức An Dương</cp:lastModifiedBy>
  <cp:lastPrinted>2025-04-22T08:11:31Z</cp:lastPrinted>
  <dcterms:created xsi:type="dcterms:W3CDTF">2023-09-28T09:31:49Z</dcterms:created>
  <dcterms:modified xsi:type="dcterms:W3CDTF">2026-06-08T04:53:17Z</dcterms:modified>
</cp:coreProperties>
</file>